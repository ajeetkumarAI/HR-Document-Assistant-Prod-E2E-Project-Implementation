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sult" sheetId="1" state="visible" r:id="rId3"/>
    <sheet name="Latency" sheetId="2" state="visible" r:id="rId4"/>
    <sheet name="Next Te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<sst xmlns="http://schemas.openxmlformats.org/spreadsheetml/2006/main" count="89" uniqueCount="79">
  <si>
    <t xml:space="preserve">HR Document Assistant – First Live Query Check</t>
  </si>
  <si>
    <t xml:space="preserve">Source: /api/v1/query response, request_id 29eaaf59a06948608d455add706b12eb (6 Oct 2026)</t>
  </si>
  <si>
    <t xml:space="preserve">Check</t>
  </si>
  <si>
    <t xml:space="preserve">Result</t>
  </si>
  <si>
    <t xml:space="preserve">Status</t>
  </si>
  <si>
    <t xml:space="preserve">Question</t>
  </si>
  <si>
    <t xml:space="preserve">How many sick leaves do I get per year?</t>
  </si>
  <si>
    <t xml:space="preserve">–</t>
  </si>
  <si>
    <t xml:space="preserve">Answer</t>
  </si>
  <si>
    <t xml:space="preserve">12 days of sick leave per calendar year, credited on 1 January; pro-rated for new joiners. [1]</t>
  </si>
  <si>
    <t xml:space="preserve">Correct</t>
  </si>
  <si>
    <t xml:space="preserve">Source document</t>
  </si>
  <si>
    <t xml:space="preserve">leave_policy.md</t>
  </si>
  <si>
    <t xml:space="preserve">Section</t>
  </si>
  <si>
    <t xml:space="preserve">Leave Policy &gt; Sick Leave</t>
  </si>
  <si>
    <t xml:space="preserve">Effective date</t>
  </si>
  <si>
    <t xml:space="preserve">2026-01-01</t>
  </si>
  <si>
    <t xml:space="preserve">Rerank score (0–10)</t>
  </si>
  <si>
    <t xml:space="preserve">Top score</t>
  </si>
  <si>
    <t xml:space="preserve">Model</t>
  </si>
  <si>
    <t xml:space="preserve">gpt-6-luna</t>
  </si>
  <si>
    <t xml:space="preserve">No fallback needed</t>
  </si>
  <si>
    <t xml:space="preserve">Input tokens</t>
  </si>
  <si>
    <t xml:space="preserve">Output tokens</t>
  </si>
  <si>
    <t xml:space="preserve">Cache</t>
  </si>
  <si>
    <t xml:space="preserve">none (first call)</t>
  </si>
  <si>
    <t xml:space="preserve">Expected</t>
  </si>
  <si>
    <t xml:space="preserve">Access scope</t>
  </si>
  <si>
    <t xml:space="preserve">employee → public documents only</t>
  </si>
  <si>
    <t xml:space="preserve">RBAC applied</t>
  </si>
  <si>
    <t xml:space="preserve">LangSmith run_id</t>
  </si>
  <si>
    <t xml:space="preserve">null</t>
  </si>
  <si>
    <t xml:space="preserve">Add LANGSMITH_API_KEY to enable</t>
  </si>
  <si>
    <t xml:space="preserve">Latency by Pipeline Stage</t>
  </si>
  <si>
    <t xml:space="preserve">Timings (ms) taken from the response's timings_ms field; % share and totals are formulas.</t>
  </si>
  <si>
    <t xml:space="preserve">Stage</t>
  </si>
  <si>
    <t xml:space="preserve">Time (ms)</t>
  </si>
  <si>
    <t xml:space="preserve">% of Total</t>
  </si>
  <si>
    <t xml:space="preserve">Why / Expected on later calls</t>
  </si>
  <si>
    <t xml:space="preserve">guardrails</t>
  </si>
  <si>
    <t xml:space="preserve">Input checks – negligible</t>
  </si>
  <si>
    <t xml:space="preserve">condense</t>
  </si>
  <si>
    <t xml:space="preserve">Skipped (no chat history)</t>
  </si>
  <si>
    <t xml:space="preserve">cache_exact</t>
  </si>
  <si>
    <t xml:space="preserve">Cache lookup – negligible</t>
  </si>
  <si>
    <t xml:space="preserve">embed_query</t>
  </si>
  <si>
    <t xml:space="preserve">First call: OpenAI connection + one-time tokenizer download; ~200–400 ms warm</t>
  </si>
  <si>
    <t xml:space="preserve">cache_semantic</t>
  </si>
  <si>
    <t xml:space="preserve">retrieve</t>
  </si>
  <si>
    <t xml:space="preserve">Qdrant hybrid search – fast</t>
  </si>
  <si>
    <t xml:space="preserve">rerank</t>
  </si>
  <si>
    <t xml:space="preserve">One OpenAI call grading 20 passages – main per-question cost</t>
  </si>
  <si>
    <t xml:space="preserve">generate</t>
  </si>
  <si>
    <t xml:space="preserve">Answer generation – normal</t>
  </si>
  <si>
    <t xml:space="preserve">Sum of stages</t>
  </si>
  <si>
    <t xml:space="preserve">Reported total (incl. overhead)</t>
  </si>
  <si>
    <t xml:space="preserve">From timings_ms.total</t>
  </si>
  <si>
    <t xml:space="preserve">Request overhead</t>
  </si>
  <si>
    <t xml:space="preserve">Total minus sum of stages</t>
  </si>
  <si>
    <t xml:space="preserve">Suggested Next Tests</t>
  </si>
  <si>
    <t xml:space="preserve">Fill in the yellow cells as you run each test.</t>
  </si>
  <si>
    <t xml:space="preserve">#</t>
  </si>
  <si>
    <t xml:space="preserve">Test</t>
  </si>
  <si>
    <t xml:space="preserve">API key</t>
  </si>
  <si>
    <t xml:space="preserve">Expected result</t>
  </si>
  <si>
    <t xml:space="preserve">Actual result</t>
  </si>
  <si>
    <t xml:space="preserve">Pass? (Y/N)</t>
  </si>
  <si>
    <t xml:space="preserve">Repeat: How many sick leaves do I get per year?</t>
  </si>
  <si>
    <t xml:space="preserve">dev-employee-key</t>
  </si>
  <si>
    <t xml:space="preserve">cache = "exact", total a few ms</t>
  </si>
  <si>
    <t xml:space="preserve">Reworded: Per year how many sick leaves do I get?</t>
  </si>
  <si>
    <t xml:space="preserve">cache = "semantic"</t>
  </si>
  <si>
    <t xml:space="preserve">What is the hotel limit in Bengaluru?</t>
  </si>
  <si>
    <t xml:space="preserve">INR 8,000 per night; ~4–6 s warm</t>
  </si>
  <si>
    <t xml:space="preserve">What is the salary range for band B3?</t>
  </si>
  <si>
    <t xml:space="preserve">"I couldn't find this…" (confidential doc hidden)</t>
  </si>
  <si>
    <t xml:space="preserve">dev-admin-key</t>
  </si>
  <si>
    <t xml:space="preserve">INR 15,00,000 to 24,00,000 from compensation_bands.md</t>
  </si>
  <si>
    <t xml:space="preserve">Passed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</si>
</sst>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Time per stage (ms)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Latency!B4</c:f>
              <c:strCache>
                <c:ptCount val="1"/>
                <c:pt idx="0">
                  <c:v>Time (ms)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Latency!$A$5:$A$12</c:f>
              <c:strCache>
                <c:ptCount val="8"/>
                <c:pt idx="0">
                  <c:v>guardrails</c:v>
                </c:pt>
                <c:pt idx="1">
                  <c:v>condense</c:v>
                </c:pt>
                <c:pt idx="2">
                  <c:v>cache_exact</c:v>
                </c:pt>
                <c:pt idx="3">
                  <c:v>embed_query</c:v>
                </c:pt>
                <c:pt idx="4">
                  <c:v>cache_semantic</c:v>
                </c:pt>
                <c:pt idx="5">
                  <c:v>retrieve</c:v>
                </c:pt>
                <c:pt idx="6">
                  <c:v>rerank</c:v>
                </c:pt>
                <c:pt idx="7">
                  <c:v>generate</c:v>
                </c:pt>
              </c:strCache>
            </c:strRef>
          </c:cat>
          <c:val>
            <c:numRef>
              <c:f>Latency!$B$5:$B$12</c:f>
              <c:numCache>
                <c:formatCode>#,##0.00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0.99</c:v>
                </c:pt>
                <c:pt idx="3">
                  <c:v>3879.61</c:v>
                </c:pt>
                <c:pt idx="4">
                  <c:v>0.08</c:v>
                </c:pt>
                <c:pt idx="5">
                  <c:v>21.15</c:v>
                </c:pt>
                <c:pt idx="6">
                  <c:v>3981.23</c:v>
                </c:pt>
                <c:pt idx="7">
                  <c:v>1762.37</c:v>
                </c:pt>
              </c:numCache>
            </c:numRef>
          </c:val>
        </c:ser>
        <c:gapWidth val="150"/>
        <c:overlap val="0"/>
        <c:axId val="96582113"/>
        <c:axId val="89323291"/>
      </c:barChart>
      <c:catAx>
        <c:axId val="965821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323291"/>
        <c:crosses val="autoZero"/>
        <c:auto val="1"/>
        <c:lblAlgn val="ctr"/>
        <c:lblOffset val="100"/>
        <c:noMultiLvlLbl val="0"/>
      </c:catAx>
      <c:valAx>
        <c:axId val="893232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821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50400</xdr:rowOff>
    </xdr:from>
    <xdr:to>
      <xdr:col>3</xdr:col>
      <xdr:colOff>1812600</xdr:colOff>
      <xdr:row>30</xdr:row>
      <xdr:rowOff>72360</xdr:rowOff>
    </xdr:to>
    <xdr:graphicFrame>
      <xdr:nvGraphicFramePr>
        <xdr:cNvPr id="0" name="Chart 1"/>
        <xdr:cNvGraphicFramePr/>
      </xdr:nvGraphicFramePr>
      <xdr:xfrm>
        <a:off x="0" y="3238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26.8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15" hidden="false" customHeight="false" outlineLevel="0" collapsed="false">
      <c r="A7" s="4" t="s">
        <v>11</v>
      </c>
      <c r="B7" s="4" t="s">
        <v>12</v>
      </c>
      <c r="C7" s="4" t="s">
        <v>10</v>
      </c>
    </row>
    <row r="8" customFormat="false" ht="15" hidden="false" customHeight="false" outlineLevel="0" collapsed="false">
      <c r="A8" s="4" t="s">
        <v>13</v>
      </c>
      <c r="B8" s="4" t="s">
        <v>14</v>
      </c>
      <c r="C8" s="4" t="s">
        <v>10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7</v>
      </c>
    </row>
    <row r="10" customFormat="false" ht="15" hidden="false" customHeight="false" outlineLevel="0" collapsed="false">
      <c r="A10" s="4" t="s">
        <v>17</v>
      </c>
      <c r="B10" s="4" t="n">
        <v>10</v>
      </c>
      <c r="C10" s="4" t="s">
        <v>18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4" t="s">
        <v>21</v>
      </c>
    </row>
    <row r="12" customFormat="false" ht="15" hidden="false" customHeight="false" outlineLevel="0" collapsed="false">
      <c r="A12" s="4" t="s">
        <v>22</v>
      </c>
      <c r="B12" s="4" t="n">
        <v>707</v>
      </c>
      <c r="C12" s="4" t="s">
        <v>7</v>
      </c>
    </row>
    <row r="13" customFormat="false" ht="15" hidden="false" customHeight="false" outlineLevel="0" collapsed="false">
      <c r="A13" s="4" t="s">
        <v>23</v>
      </c>
      <c r="B13" s="4" t="n">
        <v>34</v>
      </c>
      <c r="C13" s="4" t="s">
        <v>7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4" t="s">
        <v>26</v>
      </c>
    </row>
    <row r="15" customFormat="false" ht="15" hidden="false" customHeight="false" outlineLevel="0" collapsed="false">
      <c r="A15" s="4" t="s">
        <v>27</v>
      </c>
      <c r="B15" s="4" t="s">
        <v>28</v>
      </c>
      <c r="C15" s="4" t="s">
        <v>29</v>
      </c>
    </row>
    <row r="16" customFormat="false" ht="26.85" hidden="false" customHeight="false" outlineLevel="0" collapsed="false">
      <c r="A16" s="4" t="s">
        <v>30</v>
      </c>
      <c r="B16" s="4" t="s">
        <v>31</v>
      </c>
      <c r="C16" s="4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  <c r="D4" s="3" t="s">
        <v>38</v>
      </c>
    </row>
    <row r="5" customFormat="false" ht="15" hidden="false" customHeight="false" outlineLevel="0" collapsed="false">
      <c r="A5" s="4" t="s">
        <v>39</v>
      </c>
      <c r="B5" s="5" t="n">
        <v>0.02</v>
      </c>
      <c r="C5" s="6" t="n">
        <f aca="false">B5/$B$13</f>
        <v>2.07350363018648E-006</v>
      </c>
      <c r="D5" s="4" t="s">
        <v>40</v>
      </c>
    </row>
    <row r="6" customFormat="false" ht="15" hidden="false" customHeight="false" outlineLevel="0" collapsed="false">
      <c r="A6" s="4" t="s">
        <v>41</v>
      </c>
      <c r="B6" s="5" t="n">
        <v>0.06</v>
      </c>
      <c r="C6" s="6" t="n">
        <f aca="false">B6/$B$13</f>
        <v>6.22051089055944E-006</v>
      </c>
      <c r="D6" s="4" t="s">
        <v>42</v>
      </c>
    </row>
    <row r="7" customFormat="false" ht="15" hidden="false" customHeight="false" outlineLevel="0" collapsed="false">
      <c r="A7" s="4" t="s">
        <v>43</v>
      </c>
      <c r="B7" s="5" t="n">
        <v>0.99</v>
      </c>
      <c r="C7" s="6" t="n">
        <f aca="false">B7/$B$13</f>
        <v>0.000102638429694231</v>
      </c>
      <c r="D7" s="4" t="s">
        <v>44</v>
      </c>
    </row>
    <row r="8" customFormat="false" ht="26.85" hidden="false" customHeight="false" outlineLevel="0" collapsed="false">
      <c r="A8" s="4" t="s">
        <v>45</v>
      </c>
      <c r="B8" s="5" t="n">
        <v>3879.61</v>
      </c>
      <c r="C8" s="6" t="n">
        <f aca="false">B8/$B$13</f>
        <v>0.402219270935389</v>
      </c>
      <c r="D8" s="4" t="s">
        <v>46</v>
      </c>
    </row>
    <row r="9" customFormat="false" ht="15" hidden="false" customHeight="false" outlineLevel="0" collapsed="false">
      <c r="A9" s="4" t="s">
        <v>47</v>
      </c>
      <c r="B9" s="5" t="n">
        <v>0.08</v>
      </c>
      <c r="C9" s="6" t="n">
        <f aca="false">B9/$B$13</f>
        <v>8.29401452074592E-006</v>
      </c>
      <c r="D9" s="4" t="s">
        <v>44</v>
      </c>
    </row>
    <row r="10" customFormat="false" ht="15" hidden="false" customHeight="false" outlineLevel="0" collapsed="false">
      <c r="A10" s="4" t="s">
        <v>48</v>
      </c>
      <c r="B10" s="5" t="n">
        <v>21.15</v>
      </c>
      <c r="C10" s="6" t="n">
        <f aca="false">B10/$B$13</f>
        <v>0.0021927300889222</v>
      </c>
      <c r="D10" s="4" t="s">
        <v>49</v>
      </c>
    </row>
    <row r="11" customFormat="false" ht="15" hidden="false" customHeight="false" outlineLevel="0" collapsed="false">
      <c r="A11" s="4" t="s">
        <v>50</v>
      </c>
      <c r="B11" s="5" t="n">
        <v>3981.23</v>
      </c>
      <c r="C11" s="6" t="n">
        <f aca="false">B11/$B$13</f>
        <v>0.412754742880366</v>
      </c>
      <c r="D11" s="4" t="s">
        <v>51</v>
      </c>
    </row>
    <row r="12" customFormat="false" ht="15" hidden="false" customHeight="false" outlineLevel="0" collapsed="false">
      <c r="A12" s="4" t="s">
        <v>52</v>
      </c>
      <c r="B12" s="5" t="n">
        <v>1762.37</v>
      </c>
      <c r="C12" s="6" t="n">
        <f aca="false">B12/$B$13</f>
        <v>0.182714029636587</v>
      </c>
      <c r="D12" s="4" t="s">
        <v>53</v>
      </c>
    </row>
    <row r="13" customFormat="false" ht="15" hidden="false" customHeight="false" outlineLevel="0" collapsed="false">
      <c r="A13" s="7" t="s">
        <v>54</v>
      </c>
      <c r="B13" s="8" t="n">
        <f aca="false">SUM(B5:B12)</f>
        <v>9645.51</v>
      </c>
      <c r="C13" s="9" t="n">
        <f aca="false">SUM(C5:C12)</f>
        <v>1</v>
      </c>
      <c r="D13" s="7"/>
    </row>
    <row r="14" customFormat="false" ht="26.85" hidden="false" customHeight="false" outlineLevel="0" collapsed="false">
      <c r="A14" s="7" t="s">
        <v>55</v>
      </c>
      <c r="B14" s="8" t="n">
        <v>9649.61</v>
      </c>
      <c r="C14" s="7"/>
      <c r="D14" s="7" t="s">
        <v>56</v>
      </c>
    </row>
    <row r="15" customFormat="false" ht="15" hidden="false" customHeight="false" outlineLevel="0" collapsed="false">
      <c r="A15" s="7" t="s">
        <v>57</v>
      </c>
      <c r="B15" s="8" t="n">
        <f aca="false">B14-B13</f>
        <v>4.10000000000036</v>
      </c>
      <c r="C15" s="7"/>
      <c r="D15" s="7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6.85" hidden="false" customHeight="false" outlineLevel="0" collapsed="false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</row>
    <row r="5" customFormat="false" ht="15" hidden="false" customHeight="false" outlineLevel="0" collapsed="false">
      <c r="A5" s="4" t="n">
        <v>1</v>
      </c>
      <c r="B5" s="4" t="s">
        <v>67</v>
      </c>
      <c r="C5" s="4" t="s">
        <v>68</v>
      </c>
      <c r="D5" s="4" t="s">
        <v>69</v>
      </c>
      <c r="E5" s="10"/>
      <c r="F5" s="10"/>
    </row>
    <row r="6" customFormat="false" ht="15" hidden="false" customHeight="false" outlineLevel="0" collapsed="false">
      <c r="A6" s="4" t="n">
        <v>2</v>
      </c>
      <c r="B6" s="4" t="s">
        <v>70</v>
      </c>
      <c r="C6" s="4" t="s">
        <v>68</v>
      </c>
      <c r="D6" s="4" t="s">
        <v>71</v>
      </c>
      <c r="E6" s="10"/>
      <c r="F6" s="10"/>
    </row>
    <row r="7" customFormat="false" ht="15" hidden="false" customHeight="false" outlineLevel="0" collapsed="false">
      <c r="A7" s="4" t="n">
        <v>3</v>
      </c>
      <c r="B7" s="4" t="s">
        <v>72</v>
      </c>
      <c r="C7" s="4" t="s">
        <v>68</v>
      </c>
      <c r="D7" s="4" t="s">
        <v>73</v>
      </c>
      <c r="E7" s="10"/>
      <c r="F7" s="10"/>
    </row>
    <row r="8" customFormat="false" ht="15" hidden="false" customHeight="false" outlineLevel="0" collapsed="false">
      <c r="A8" s="4" t="n">
        <v>4</v>
      </c>
      <c r="B8" s="4" t="s">
        <v>74</v>
      </c>
      <c r="C8" s="4" t="s">
        <v>68</v>
      </c>
      <c r="D8" s="4" t="s">
        <v>75</v>
      </c>
      <c r="E8" s="10"/>
      <c r="F8" s="10"/>
    </row>
    <row r="9" customFormat="false" ht="26.85" hidden="false" customHeight="false" outlineLevel="0" collapsed="false">
      <c r="A9" s="4" t="n">
        <v>5</v>
      </c>
      <c r="B9" s="4" t="s">
        <v>74</v>
      </c>
      <c r="C9" s="4" t="s">
        <v>76</v>
      </c>
      <c r="D9" s="4" t="s">
        <v>77</v>
      </c>
      <c r="E9" s="10"/>
      <c r="F9" s="10"/>
    </row>
    <row r="11" customFormat="false" ht="15" hidden="false" customHeight="false" outlineLevel="0" collapsed="false">
      <c r="A11" s="11" t="s">
        <v>78</v>
      </c>
      <c r="B11" s="11" t="str">
        <f aca="false">COUNTIF(F5:F9,"Y")&amp;" of 5"</f>
        <v>0 of 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2026-10-06T17:23:51Z</dcterms:created>
  <dc:creator>openpyxl</dc:creator>
  <dc:description/>
  <dc:language>en-US</dc:language>
  <cp:lastModifiedBy/>
  <dcterms:modified xsi:type="dcterms:W3CDTF">2026-10-06T17:23:53Z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